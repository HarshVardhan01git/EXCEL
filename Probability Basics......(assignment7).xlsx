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harsh\Downloads\"/>
    </mc:Choice>
  </mc:AlternateContent>
  <xr:revisionPtr revIDLastSave="0" documentId="8_{CAE96058-D1F2-4AD5-8B50-D2815C4B1340}" xr6:coauthVersionLast="47" xr6:coauthVersionMax="47" xr10:uidLastSave="{00000000-0000-0000-0000-000000000000}"/>
  <bookViews>
    <workbookView xWindow="-98" yWindow="-98" windowWidth="21795" windowHeight="12975" activeTab="9" xr2:uid="{143DEC92-10A7-4911-92C3-717354432391}"/>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9" l="1"/>
  <c r="C10" i="8"/>
  <c r="C10" i="7"/>
  <c r="C7" i="6"/>
  <c r="C13" i="3"/>
  <c r="C10" i="2"/>
  <c r="H10" i="1"/>
  <c r="F6" i="1"/>
</calcChain>
</file>

<file path=xl/sharedStrings.xml><?xml version="1.0" encoding="utf-8"?>
<sst xmlns="http://schemas.openxmlformats.org/spreadsheetml/2006/main" count="75" uniqueCount="70">
  <si>
    <t>: A die is rolled. What is the probability of getting: (a) An even number (b) A number greater than 4 </t>
  </si>
  <si>
    <t>A</t>
  </si>
  <si>
    <t xml:space="preserve">PROB. OF GETTING EVEN  NUMBER= </t>
  </si>
  <si>
    <t>NO. FO SIDES</t>
  </si>
  <si>
    <t>EVEN NUMBER</t>
  </si>
  <si>
    <t>B</t>
  </si>
  <si>
    <t>NO.OF GETIING GREATER THAN 4</t>
  </si>
  <si>
    <t>PROBABILITY OF GETTING A NUMBER GREATER THAN 4</t>
  </si>
  <si>
    <t>Q1</t>
  </si>
  <si>
    <t>: In a class of 50 students: 20 like Mathematics (M) 15 like Science (S) 5 like both subjects What is the probability that a student chosen at random likes Mathematics or Science?</t>
  </si>
  <si>
    <t>MATHS</t>
  </si>
  <si>
    <t>SCIENCE</t>
  </si>
  <si>
    <t>BOTH</t>
  </si>
  <si>
    <t>TOTAL</t>
  </si>
  <si>
    <t>PROBABILITY</t>
  </si>
  <si>
    <t>Q2</t>
  </si>
  <si>
    <t xml:space="preserve"> A bag has 3 red and 2 blue balls. If one ball is drawn randomly and is red, what is the probability that the next ball is also red (without replacement)?</t>
  </si>
  <si>
    <t>Q3</t>
  </si>
  <si>
    <t>NO. OF BALLS</t>
  </si>
  <si>
    <t>BLUE</t>
  </si>
  <si>
    <t xml:space="preserve">NO. OF BALLS DRAWN </t>
  </si>
  <si>
    <t>TOTAL NO. OF REMAING BALLS</t>
  </si>
  <si>
    <t>PROBABLITY OF GETTING RED BALL</t>
  </si>
  <si>
    <t>RED AFTER DRAWN 1 BALL</t>
  </si>
  <si>
    <t>The population of a school is divided into 60% boys and 40% girls. If you want equal representation of both genders in the sample, which method should you use: Simple Random Sampling or Stratified Sampling? Why</t>
  </si>
  <si>
    <t xml:space="preserve"> Stratified Sampling.</t>
  </si>
  <si>
    <t>Reason: Stratified sampling divides the population into homogeneous subgroups (strata – here, boys and girls) and then draws samples proportionally (or equally, if needed) from each stratum. This ensures both genders are represented equally in the sample, unlike simple random sampling which may give unequal representation by chance.</t>
  </si>
  <si>
    <t>Q4</t>
  </si>
  <si>
    <t>The average height of 1000 students = 160 cm. A sample of 100 students shows an average height = 158 cm. Find the sampling error.</t>
  </si>
  <si>
    <t>The average height of 1,000 students is 160 cm. You took a group of 100 students and found their average height is 158 cm. The sampling error is just how much the sample average differs from the overall average</t>
  </si>
  <si>
    <t>Sampling error = 158 - 160 = -2 cm.</t>
  </si>
  <si>
    <t>Answer: -2 cm</t>
  </si>
  <si>
    <t>Q5</t>
  </si>
  <si>
    <t xml:space="preserve"> The population mean salary is ₹50,000 with σ = ₹5,000. If we take a sample of 100 employees, what is the standard error of the mean (SEM)</t>
  </si>
  <si>
    <t>STD. OF POP</t>
  </si>
  <si>
    <t>NO. OF EMPLOYES</t>
  </si>
  <si>
    <t>SEM</t>
  </si>
  <si>
    <t>Q6</t>
  </si>
  <si>
    <t>: In a group of 100 students: 40 like Cricket (C) 30 like Football (F) 10 like both Cricket and Football Find the probability that a student likes at least one sport.</t>
  </si>
  <si>
    <t>CRICKET</t>
  </si>
  <si>
    <t>FOOTBALL</t>
  </si>
  <si>
    <t>Q7</t>
  </si>
  <si>
    <t>From a deck of 52 cards, two cards are drawn without replacement. What is the probability that both are Aces? </t>
  </si>
  <si>
    <t>SET OF CARDS</t>
  </si>
  <si>
    <t>CARDS DRAWN</t>
  </si>
  <si>
    <t>NO. OF ACES</t>
  </si>
  <si>
    <t>Q8</t>
  </si>
  <si>
    <t xml:space="preserve"> A factory produces bulbs with 2% defective rate. If 5 bulbs are chosen at random, what is the probability that all are non-defective?</t>
  </si>
  <si>
    <t xml:space="preserve">NO. OF SAMPLING </t>
  </si>
  <si>
    <t>DEFECTIVE RATE</t>
  </si>
  <si>
    <t>N</t>
  </si>
  <si>
    <t>K</t>
  </si>
  <si>
    <t>P</t>
  </si>
  <si>
    <t>PROB.</t>
  </si>
  <si>
    <t>Q9</t>
  </si>
  <si>
    <t>Differentiate between discrete and continuous random variables with examples.</t>
  </si>
  <si>
    <t>Often counts of things</t>
  </si>
  <si>
    <t>Discrete Random Variable</t>
  </si>
  <si>
    <t>Takes countable values (integers)</t>
  </si>
  <si>
    <t>EXAMPLES</t>
  </si>
  <si>
    <t>Number of cars sold in a day</t>
  </si>
  <si>
    <t>Number of students absent today</t>
  </si>
  <si>
    <t>Number of heads in 5 coin tosses</t>
  </si>
  <si>
    <t>Continuous Random Variable</t>
  </si>
  <si>
    <t>Takes any value in a range (decimal)</t>
  </si>
  <si>
    <t>Often measurements</t>
  </si>
  <si>
    <t>Weight of a mango</t>
  </si>
  <si>
    <t>Time taken to finish a test</t>
  </si>
  <si>
    <t>Height of students in a class</t>
  </si>
  <si>
    <t>Q10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</si>
</sst>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333A-3525-40F6-8D45-3259885EE5B6}">
  <dimension ref="A1:H10"/>
  <sheetViews>
    <sheetView workbookViewId="0">
      <selection activeCell="E26" sqref="E26"/>
    </sheetView>
  </sheetViews>
  <sheetFormatPr defaultRowHeight="14.25" x14ac:dyDescent="0.45"/>
  <cols>
    <col min="2" max="2" width="20" customWidth="1"/>
    <col min="5" max="5" width="15.86328125" customWidth="1"/>
  </cols>
  <sheetData>
    <row r="1" spans="1:8" x14ac:dyDescent="0.45">
      <c r="A1" t="s">
        <v>8</v>
      </c>
    </row>
    <row r="3" spans="1:8" x14ac:dyDescent="0.45">
      <c r="B3" s="1" t="s">
        <v>0</v>
      </c>
    </row>
    <row r="4" spans="1:8" x14ac:dyDescent="0.45">
      <c r="B4" s="1"/>
    </row>
    <row r="5" spans="1:8" x14ac:dyDescent="0.45">
      <c r="B5" t="s">
        <v>3</v>
      </c>
      <c r="C5">
        <v>6</v>
      </c>
      <c r="E5" t="s">
        <v>4</v>
      </c>
      <c r="F5">
        <v>3</v>
      </c>
    </row>
    <row r="6" spans="1:8" x14ac:dyDescent="0.45">
      <c r="B6" s="1" t="s">
        <v>1</v>
      </c>
      <c r="C6" t="s">
        <v>2</v>
      </c>
      <c r="F6">
        <f>F5/C5</f>
        <v>0.5</v>
      </c>
      <c r="G6" s="2"/>
    </row>
    <row r="9" spans="1:8" x14ac:dyDescent="0.45">
      <c r="B9" s="1" t="s">
        <v>5</v>
      </c>
      <c r="C9" t="s">
        <v>6</v>
      </c>
      <c r="F9">
        <v>2</v>
      </c>
    </row>
    <row r="10" spans="1:8" x14ac:dyDescent="0.45">
      <c r="C10" t="s">
        <v>7</v>
      </c>
      <c r="H10">
        <f>F9/C5</f>
        <v>0.33333333333333331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0EF89-57C4-4EA1-916B-BCF1F6247DB2}">
  <dimension ref="A1:C10"/>
  <sheetViews>
    <sheetView workbookViewId="0">
      <selection activeCell="C25" sqref="C25"/>
    </sheetView>
  </sheetViews>
  <sheetFormatPr defaultRowHeight="14.25" x14ac:dyDescent="0.45"/>
  <cols>
    <col min="2" max="2" width="12.6640625" customWidth="1"/>
  </cols>
  <sheetData>
    <row r="1" spans="1:3" x14ac:dyDescent="0.45">
      <c r="A1" t="s">
        <v>15</v>
      </c>
    </row>
    <row r="3" spans="1:3" x14ac:dyDescent="0.45">
      <c r="B3" s="1" t="s">
        <v>9</v>
      </c>
    </row>
    <row r="4" spans="1:3" x14ac:dyDescent="0.45">
      <c r="B4" t="s">
        <v>13</v>
      </c>
      <c r="C4">
        <v>50</v>
      </c>
    </row>
    <row r="5" spans="1:3" x14ac:dyDescent="0.45">
      <c r="B5" t="s">
        <v>10</v>
      </c>
      <c r="C5">
        <v>20</v>
      </c>
    </row>
    <row r="6" spans="1:3" x14ac:dyDescent="0.45">
      <c r="B6" t="s">
        <v>11</v>
      </c>
      <c r="C6">
        <v>15</v>
      </c>
    </row>
    <row r="7" spans="1:3" x14ac:dyDescent="0.45">
      <c r="B7" t="s">
        <v>12</v>
      </c>
      <c r="C7">
        <v>5</v>
      </c>
    </row>
    <row r="10" spans="1:3" x14ac:dyDescent="0.45">
      <c r="B10" t="s">
        <v>14</v>
      </c>
      <c r="C10">
        <f>(C5+C6-C7)/C4</f>
        <v>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2CA7B-CF5A-48AB-81A2-1B1059E14BE4}">
  <dimension ref="A1:C13"/>
  <sheetViews>
    <sheetView workbookViewId="0">
      <selection activeCell="C27" sqref="C27"/>
    </sheetView>
  </sheetViews>
  <sheetFormatPr defaultRowHeight="14.25" x14ac:dyDescent="0.45"/>
  <cols>
    <col min="2" max="2" width="32" customWidth="1"/>
  </cols>
  <sheetData>
    <row r="1" spans="1:3" x14ac:dyDescent="0.45">
      <c r="A1" t="s">
        <v>17</v>
      </c>
    </row>
    <row r="3" spans="1:3" x14ac:dyDescent="0.45">
      <c r="B3" s="1" t="s">
        <v>16</v>
      </c>
    </row>
    <row r="6" spans="1:3" x14ac:dyDescent="0.45">
      <c r="B6" t="s">
        <v>18</v>
      </c>
      <c r="C6">
        <v>5</v>
      </c>
    </row>
    <row r="7" spans="1:3" x14ac:dyDescent="0.45">
      <c r="B7" t="s">
        <v>23</v>
      </c>
      <c r="C7">
        <v>2</v>
      </c>
    </row>
    <row r="8" spans="1:3" x14ac:dyDescent="0.45">
      <c r="B8" t="s">
        <v>19</v>
      </c>
      <c r="C8">
        <v>2</v>
      </c>
    </row>
    <row r="9" spans="1:3" x14ac:dyDescent="0.45">
      <c r="B9" t="s">
        <v>20</v>
      </c>
      <c r="C9">
        <v>1</v>
      </c>
    </row>
    <row r="10" spans="1:3" x14ac:dyDescent="0.45">
      <c r="B10" t="s">
        <v>21</v>
      </c>
      <c r="C10">
        <v>4</v>
      </c>
    </row>
    <row r="13" spans="1:3" x14ac:dyDescent="0.45">
      <c r="B13" t="s">
        <v>22</v>
      </c>
      <c r="C13">
        <f>C7/C10</f>
        <v>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56F3-3027-485B-8627-14175BA7BC83}">
  <dimension ref="A1:B8"/>
  <sheetViews>
    <sheetView workbookViewId="0">
      <selection activeCell="F29" sqref="F29"/>
    </sheetView>
  </sheetViews>
  <sheetFormatPr defaultRowHeight="14.25" x14ac:dyDescent="0.45"/>
  <sheetData>
    <row r="1" spans="1:2" x14ac:dyDescent="0.45">
      <c r="A1" t="s">
        <v>27</v>
      </c>
    </row>
    <row r="3" spans="1:2" x14ac:dyDescent="0.45">
      <c r="B3" s="1" t="s">
        <v>24</v>
      </c>
    </row>
    <row r="6" spans="1:2" x14ac:dyDescent="0.45">
      <c r="B6" t="s">
        <v>25</v>
      </c>
    </row>
    <row r="8" spans="1:2" x14ac:dyDescent="0.45">
      <c r="B8"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B9A8-07F4-42DF-BE9D-DEEE73207687}">
  <dimension ref="A1:B7"/>
  <sheetViews>
    <sheetView workbookViewId="0">
      <selection activeCell="G26" sqref="G26"/>
    </sheetView>
  </sheetViews>
  <sheetFormatPr defaultRowHeight="14.25" x14ac:dyDescent="0.45"/>
  <sheetData>
    <row r="1" spans="1:2" x14ac:dyDescent="0.45">
      <c r="A1" s="1" t="s">
        <v>32</v>
      </c>
    </row>
    <row r="2" spans="1:2" x14ac:dyDescent="0.45">
      <c r="B2" s="1" t="s">
        <v>28</v>
      </c>
    </row>
    <row r="4" spans="1:2" x14ac:dyDescent="0.45">
      <c r="B4" t="s">
        <v>29</v>
      </c>
    </row>
    <row r="6" spans="1:2" x14ac:dyDescent="0.45">
      <c r="B6" t="s">
        <v>30</v>
      </c>
    </row>
    <row r="7" spans="1:2" x14ac:dyDescent="0.45">
      <c r="B7" t="s">
        <v>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494EF-CB60-4AEF-A51D-B94EE84D73DC}">
  <dimension ref="A1:C7"/>
  <sheetViews>
    <sheetView workbookViewId="0">
      <selection activeCell="E24" sqref="E24"/>
    </sheetView>
  </sheetViews>
  <sheetFormatPr defaultRowHeight="14.25" x14ac:dyDescent="0.45"/>
  <cols>
    <col min="2" max="2" width="16.6640625" customWidth="1"/>
  </cols>
  <sheetData>
    <row r="1" spans="1:3" x14ac:dyDescent="0.45">
      <c r="A1" s="1" t="s">
        <v>37</v>
      </c>
    </row>
    <row r="2" spans="1:3" x14ac:dyDescent="0.45">
      <c r="B2" s="1" t="s">
        <v>33</v>
      </c>
    </row>
    <row r="4" spans="1:3" x14ac:dyDescent="0.45">
      <c r="B4" t="s">
        <v>34</v>
      </c>
      <c r="C4">
        <v>5000</v>
      </c>
    </row>
    <row r="5" spans="1:3" x14ac:dyDescent="0.45">
      <c r="B5" t="s">
        <v>35</v>
      </c>
      <c r="C5">
        <v>100</v>
      </c>
    </row>
    <row r="7" spans="1:3" x14ac:dyDescent="0.45">
      <c r="B7" t="s">
        <v>36</v>
      </c>
      <c r="C7">
        <f>C4/SQRT(C5)</f>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421FF-71A0-46BD-A234-5939879B51DA}">
  <dimension ref="A1:C10"/>
  <sheetViews>
    <sheetView workbookViewId="0">
      <selection activeCell="F25" sqref="F25"/>
    </sheetView>
  </sheetViews>
  <sheetFormatPr defaultRowHeight="14.25" x14ac:dyDescent="0.45"/>
  <cols>
    <col min="2" max="2" width="13.86328125" customWidth="1"/>
  </cols>
  <sheetData>
    <row r="1" spans="1:3" x14ac:dyDescent="0.45">
      <c r="A1" s="1" t="s">
        <v>41</v>
      </c>
    </row>
    <row r="2" spans="1:3" x14ac:dyDescent="0.45">
      <c r="B2" s="1" t="s">
        <v>38</v>
      </c>
    </row>
    <row r="4" spans="1:3" x14ac:dyDescent="0.45">
      <c r="B4" t="s">
        <v>13</v>
      </c>
      <c r="C4">
        <v>100</v>
      </c>
    </row>
    <row r="5" spans="1:3" x14ac:dyDescent="0.45">
      <c r="B5" t="s">
        <v>39</v>
      </c>
      <c r="C5">
        <v>40</v>
      </c>
    </row>
    <row r="6" spans="1:3" x14ac:dyDescent="0.45">
      <c r="B6" t="s">
        <v>40</v>
      </c>
      <c r="C6">
        <v>30</v>
      </c>
    </row>
    <row r="7" spans="1:3" x14ac:dyDescent="0.45">
      <c r="B7" t="s">
        <v>12</v>
      </c>
      <c r="C7">
        <v>10</v>
      </c>
    </row>
    <row r="10" spans="1:3" x14ac:dyDescent="0.45">
      <c r="B10" t="s">
        <v>14</v>
      </c>
      <c r="C10">
        <f>(C5+C6-C7)/C4</f>
        <v>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2C40E-AA80-4AB4-87D8-892837BACB53}">
  <dimension ref="A1:C10"/>
  <sheetViews>
    <sheetView workbookViewId="0">
      <selection activeCell="C10" sqref="C10"/>
    </sheetView>
  </sheetViews>
  <sheetFormatPr defaultRowHeight="14.25" x14ac:dyDescent="0.45"/>
  <cols>
    <col min="2" max="2" width="20.1328125" customWidth="1"/>
  </cols>
  <sheetData>
    <row r="1" spans="1:3" x14ac:dyDescent="0.45">
      <c r="A1" s="1" t="s">
        <v>46</v>
      </c>
    </row>
    <row r="3" spans="1:3" x14ac:dyDescent="0.45">
      <c r="B3" s="1" t="s">
        <v>42</v>
      </c>
    </row>
    <row r="6" spans="1:3" x14ac:dyDescent="0.45">
      <c r="B6" t="s">
        <v>43</v>
      </c>
      <c r="C6">
        <v>52</v>
      </c>
    </row>
    <row r="7" spans="1:3" x14ac:dyDescent="0.45">
      <c r="B7" t="s">
        <v>44</v>
      </c>
      <c r="C7">
        <v>2</v>
      </c>
    </row>
    <row r="8" spans="1:3" x14ac:dyDescent="0.45">
      <c r="B8" t="s">
        <v>45</v>
      </c>
      <c r="C8">
        <v>4</v>
      </c>
    </row>
    <row r="10" spans="1:3" x14ac:dyDescent="0.45">
      <c r="B10" t="s">
        <v>14</v>
      </c>
      <c r="C10">
        <f>COMBIN(C8,C7)/COMBIN(C6,C7)</f>
        <v>4.5248868778280547E-3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13CD5-93F8-498F-A427-AA21AF7142CE}">
  <dimension ref="A1:C14"/>
  <sheetViews>
    <sheetView workbookViewId="0"/>
  </sheetViews>
  <sheetFormatPr defaultRowHeight="14.25" x14ac:dyDescent="0.45"/>
  <cols>
    <col min="2" max="2" width="19.1328125" customWidth="1"/>
  </cols>
  <sheetData>
    <row r="1" spans="1:3" x14ac:dyDescent="0.45">
      <c r="A1" s="1" t="s">
        <v>54</v>
      </c>
    </row>
    <row r="2" spans="1:3" x14ac:dyDescent="0.45">
      <c r="B2" s="1" t="s">
        <v>47</v>
      </c>
    </row>
    <row r="4" spans="1:3" x14ac:dyDescent="0.45">
      <c r="B4" t="s">
        <v>48</v>
      </c>
      <c r="C4">
        <v>5</v>
      </c>
    </row>
    <row r="5" spans="1:3" x14ac:dyDescent="0.45">
      <c r="B5" t="s">
        <v>49</v>
      </c>
      <c r="C5" s="3">
        <v>0.02</v>
      </c>
    </row>
    <row r="10" spans="1:3" x14ac:dyDescent="0.45">
      <c r="B10" t="s">
        <v>50</v>
      </c>
      <c r="C10">
        <v>5</v>
      </c>
    </row>
    <row r="11" spans="1:3" x14ac:dyDescent="0.45">
      <c r="B11" t="s">
        <v>51</v>
      </c>
      <c r="C11">
        <v>0</v>
      </c>
    </row>
    <row r="12" spans="1:3" x14ac:dyDescent="0.45">
      <c r="B12" t="s">
        <v>52</v>
      </c>
      <c r="C12">
        <v>0.02</v>
      </c>
    </row>
    <row r="14" spans="1:3" x14ac:dyDescent="0.45">
      <c r="B14" t="s">
        <v>53</v>
      </c>
      <c r="C14">
        <f>_xlfn.BINOM.DIST(C11,C10,C12,FALSE)</f>
        <v>0.90392079680000004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77BD3-8279-439A-B661-3F9C8ED37B35}">
  <dimension ref="A1:B22"/>
  <sheetViews>
    <sheetView tabSelected="1" workbookViewId="0"/>
  </sheetViews>
  <sheetFormatPr defaultRowHeight="14.25" x14ac:dyDescent="0.45"/>
  <cols>
    <col min="2" max="2" width="54.33203125" customWidth="1"/>
  </cols>
  <sheetData>
    <row r="1" spans="1:2" x14ac:dyDescent="0.45">
      <c r="A1" s="1" t="s">
        <v>69</v>
      </c>
    </row>
    <row r="2" spans="1:2" x14ac:dyDescent="0.45">
      <c r="B2" s="1" t="s">
        <v>55</v>
      </c>
    </row>
    <row r="5" spans="1:2" x14ac:dyDescent="0.45">
      <c r="B5" s="1" t="s">
        <v>57</v>
      </c>
    </row>
    <row r="6" spans="1:2" x14ac:dyDescent="0.45">
      <c r="B6" t="s">
        <v>58</v>
      </c>
    </row>
    <row r="7" spans="1:2" x14ac:dyDescent="0.45">
      <c r="B7" t="s">
        <v>56</v>
      </c>
    </row>
    <row r="9" spans="1:2" x14ac:dyDescent="0.45">
      <c r="B9" t="s">
        <v>59</v>
      </c>
    </row>
    <row r="10" spans="1:2" x14ac:dyDescent="0.45">
      <c r="B10" t="s">
        <v>60</v>
      </c>
    </row>
    <row r="11" spans="1:2" x14ac:dyDescent="0.45">
      <c r="B11" t="s">
        <v>61</v>
      </c>
    </row>
    <row r="12" spans="1:2" x14ac:dyDescent="0.45">
      <c r="B12" t="s">
        <v>62</v>
      </c>
    </row>
    <row r="15" spans="1:2" x14ac:dyDescent="0.45">
      <c r="B15" s="1" t="s">
        <v>63</v>
      </c>
    </row>
    <row r="16" spans="1:2" x14ac:dyDescent="0.45">
      <c r="B16" t="s">
        <v>64</v>
      </c>
    </row>
    <row r="17" spans="2:2" x14ac:dyDescent="0.45">
      <c r="B17" t="s">
        <v>65</v>
      </c>
    </row>
    <row r="19" spans="2:2" x14ac:dyDescent="0.45">
      <c r="B19" t="s">
        <v>59</v>
      </c>
    </row>
    <row r="20" spans="2:2" x14ac:dyDescent="0.45">
      <c r="B20" t="s">
        <v>66</v>
      </c>
    </row>
    <row r="21" spans="2:2" x14ac:dyDescent="0.45">
      <c r="B21" t="s">
        <v>67</v>
      </c>
    </row>
    <row r="22" spans="2:2" x14ac:dyDescent="0.45">
      <c r="B22"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Kumar</dc:creator>
  <cp:lastModifiedBy>harsh vardhan</cp:lastModifiedBy>
  <dcterms:created xsi:type="dcterms:W3CDTF">2026-01-01T14:56:25Z</dcterms:created>
  <dcterms:modified xsi:type="dcterms:W3CDTF">2026-01-06T17:14:57Z</dcterms:modified>
</cp:coreProperties>
</file>